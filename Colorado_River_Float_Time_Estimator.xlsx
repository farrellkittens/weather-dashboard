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oat Estimator" sheetId="1" r:id="rId1"/>
    <sheet name="Method &amp; Notes" sheetId="2" r:id="rId2"/>
  </sheets>
  <calcPr calcId="124519" fullCalcOnLoad="1"/>
</workbook>
</file>

<file path=xl/sharedStrings.xml><?xml version="1.0" encoding="utf-8"?>
<sst xmlns="http://schemas.openxmlformats.org/spreadsheetml/2006/main" count="30" uniqueCount="30">
  <si>
    <t>Colorado River Float Time Estimator</t>
  </si>
  <si>
    <t>Calibrated from a Deschutes River float; edit yellow cells.</t>
  </si>
  <si>
    <t>Calibration Inputs</t>
  </si>
  <si>
    <t>Deschutes distance (miles)</t>
  </si>
  <si>
    <t>Deschutes time (hours)</t>
  </si>
  <si>
    <t>Deschutes average flow (CFS)</t>
  </si>
  <si>
    <t>Calibrated speed (mph)</t>
  </si>
  <si>
    <t>Colorado Trip Inputs</t>
  </si>
  <si>
    <t>Riverbend Park to Corn Lake distance (miles)</t>
  </si>
  <si>
    <t>Colorado River flow that day (CFS)</t>
  </si>
  <si>
    <t>Speed adjustment factor</t>
  </si>
  <si>
    <t>Estimated Results</t>
  </si>
  <si>
    <t>Estimated float speed (mph)</t>
  </si>
  <si>
    <t>Estimated float time (decimal hours)</t>
  </si>
  <si>
    <t>Estimated float time (hours:minutes)</t>
  </si>
  <si>
    <t>CFS Scenarios</t>
  </si>
  <si>
    <t>Colorado CFS</t>
  </si>
  <si>
    <t>Estimated Hours</t>
  </si>
  <si>
    <t>Estimated Time</t>
  </si>
  <si>
    <t>Method &amp; Notes</t>
  </si>
  <si>
    <t>Core formula</t>
  </si>
  <si>
    <t>Estimated speed = Deschutes speed x (Colorado CFS / Deschutes CFS) x adjustment factor</t>
  </si>
  <si>
    <t>Important limitation</t>
  </si>
  <si>
    <t>This assumes speed changes linearly with CFS across two different rivers. It is a rough planning assumption, not a hydraulic model.</t>
  </si>
  <si>
    <t>Route distance</t>
  </si>
  <si>
    <t>The default Riverbend Park to Corn Lake distance is 7 miles, a commonly reported approximate river distance. Edit it if you have a measured GPS track.</t>
  </si>
  <si>
    <t>Adjustment factor</t>
  </si>
  <si>
    <t>Use less than 1.0 for slower travel caused by wind, shallow sections, eddies, stops, or a slower craft. Use greater than 1.0 for active paddling.</t>
  </si>
  <si>
    <t>Safety</t>
  </si>
  <si>
    <t>CFS alone does not determine safety. Check current conditions, weather, hazards, access status, and local guidance before launching.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</si>
</sst>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[h]:mm"/>
  </numFmts>
  <fonts count="5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1"/>
      <color rgb="FF555555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wrapText="1"/>
    </xf>
    <xf numFmtId="0" fontId="3" fillId="2" borderId="0" xfId="0" applyFont="1" applyFill="1"/>
    <xf numFmtId="0" fontId="0" fillId="3" borderId="1" xfId="0" applyFill="1" applyBorder="1"/>
    <xf numFmtId="164" fontId="0" fillId="4" borderId="1" xfId="0" applyNumberFormat="1" applyFill="1" applyBorder="1"/>
    <xf numFmtId="1" fontId="0" fillId="4" borderId="1" xfId="0" applyNumberFormat="1" applyFill="1" applyBorder="1"/>
    <xf numFmtId="164" fontId="0" fillId="3" borderId="1" xfId="0" applyNumberFormat="1" applyFill="1" applyBorder="1"/>
    <xf numFmtId="165" fontId="0" fillId="3" borderId="1" xfId="0" applyNumberFormat="1" applyFill="1" applyBorder="1"/>
    <xf numFmtId="0" fontId="4" fillId="2" borderId="1" xfId="0" applyFont="1" applyFill="1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Estimated Float Time by CFS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Estimated Hours</c:v>
          </c:tx>
          <c:spPr>
            <a:ln w="28575">
              <a:solidFill>
                <a:srgbClr val="1F4E78"/>
              </a:solidFill>
            </a:ln>
          </c:spPr>
          <c:marker>
            <c:symbol val="none"/>
          </c:marker>
          <c:cat>
            <c:numRef>
              <c:f>'Float Estimator'!$A$22:$A$34</c:f>
              <c:numCache>
                <c:formatCode>General</c:formatCode>
                <c:ptCount val="13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650</c:v>
                </c:pt>
                <c:pt idx="7">
                  <c:v>800</c:v>
                </c:pt>
                <c:pt idx="8">
                  <c:v>1000</c:v>
                </c:pt>
                <c:pt idx="9">
                  <c:v>1250</c:v>
                </c:pt>
                <c:pt idx="10">
                  <c:v>1500</c:v>
                </c:pt>
                <c:pt idx="11">
                  <c:v>2000</c:v>
                </c:pt>
                <c:pt idx="12">
                  <c:v>3000</c:v>
                </c:pt>
              </c:numCache>
            </c:numRef>
          </c:cat>
          <c:val>
            <c:numRef>
              <c:f>'Float Estimator'!$B$22:$B$34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Colorado River Flow (CFS)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Estimated Hours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12</xdr:col>
      <xdr:colOff>381000</xdr:colOff>
      <xdr:row>19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48.7109375" customWidth="1"/>
    <col min="2" max="3" width="20.7109375" customWidth="1"/>
  </cols>
  <sheetData>
    <row r="1" spans="1:3">
      <c r="A1" s="1" t="s">
        <v>0</v>
      </c>
      <c r="B1" s="1"/>
      <c r="C1" s="1"/>
    </row>
    <row r="2" spans="1:3">
      <c r="A2" s="2" t="s">
        <v>1</v>
      </c>
      <c r="B2" s="2"/>
      <c r="C2" s="2"/>
    </row>
    <row r="4" spans="1:3">
      <c r="A4" s="3" t="s">
        <v>2</v>
      </c>
      <c r="B4" s="3"/>
      <c r="C4" s="3"/>
    </row>
    <row r="5" spans="1:3">
      <c r="A5" s="4" t="s">
        <v>3</v>
      </c>
      <c r="B5" s="5">
        <v>1.96</v>
      </c>
    </row>
    <row r="6" spans="1:3">
      <c r="A6" s="4" t="s">
        <v>4</v>
      </c>
      <c r="B6" s="5">
        <v>1.75</v>
      </c>
    </row>
    <row r="7" spans="1:3">
      <c r="A7" s="4" t="s">
        <v>5</v>
      </c>
      <c r="B7" s="6">
        <v>116</v>
      </c>
    </row>
    <row r="8" spans="1:3">
      <c r="A8" s="4" t="s">
        <v>6</v>
      </c>
      <c r="B8" s="7">
        <f>B5/B6</f>
        <v>0</v>
      </c>
    </row>
    <row r="10" spans="1:3">
      <c r="A10" s="3" t="s">
        <v>7</v>
      </c>
      <c r="B10" s="3"/>
      <c r="C10" s="3"/>
    </row>
    <row r="11" spans="1:3">
      <c r="A11" s="4" t="s">
        <v>8</v>
      </c>
      <c r="B11" s="5">
        <v>7</v>
      </c>
    </row>
    <row r="12" spans="1:3">
      <c r="A12" s="4" t="s">
        <v>9</v>
      </c>
      <c r="B12" s="6">
        <v>650</v>
      </c>
    </row>
    <row r="13" spans="1:3">
      <c r="A13" s="4" t="s">
        <v>10</v>
      </c>
      <c r="B13" s="5">
        <v>1</v>
      </c>
    </row>
    <row r="15" spans="1:3">
      <c r="A15" s="3" t="s">
        <v>11</v>
      </c>
      <c r="B15" s="3"/>
      <c r="C15" s="3"/>
    </row>
    <row r="16" spans="1:3">
      <c r="A16" s="4" t="s">
        <v>12</v>
      </c>
      <c r="B16" s="7">
        <f>B8*(B12/B7)*B13</f>
        <v>0</v>
      </c>
    </row>
    <row r="17" spans="1:3">
      <c r="A17" s="4" t="s">
        <v>13</v>
      </c>
      <c r="B17" s="7">
        <f>B11/B16</f>
        <v>0</v>
      </c>
    </row>
    <row r="18" spans="1:3">
      <c r="A18" s="4" t="s">
        <v>14</v>
      </c>
      <c r="B18" s="8">
        <f>B17/24</f>
        <v>0</v>
      </c>
    </row>
    <row r="20" spans="1:3">
      <c r="A20" s="3" t="s">
        <v>15</v>
      </c>
      <c r="B20" s="3"/>
      <c r="C20" s="3"/>
    </row>
    <row r="21" spans="1:3">
      <c r="A21" s="9" t="s">
        <v>16</v>
      </c>
      <c r="B21" s="9" t="s">
        <v>17</v>
      </c>
      <c r="C21" s="9" t="s">
        <v>18</v>
      </c>
    </row>
    <row r="22" spans="1:3">
      <c r="A22" s="6">
        <v>100</v>
      </c>
      <c r="B22" s="7">
        <f>$B$11/($B$8*(A22/$B$7)*$B$13)</f>
        <v>0</v>
      </c>
      <c r="C22" s="8">
        <f>B22/24</f>
        <v>0</v>
      </c>
    </row>
    <row r="23" spans="1:3">
      <c r="A23" s="6">
        <v>150</v>
      </c>
      <c r="B23" s="7">
        <f>$B$11/($B$8*(A23/$B$7)*$B$13)</f>
        <v>0</v>
      </c>
      <c r="C23" s="8">
        <f>B23/24</f>
        <v>0</v>
      </c>
    </row>
    <row r="24" spans="1:3">
      <c r="A24" s="6">
        <v>200</v>
      </c>
      <c r="B24" s="7">
        <f>$B$11/($B$8*(A24/$B$7)*$B$13)</f>
        <v>0</v>
      </c>
      <c r="C24" s="8">
        <f>B24/24</f>
        <v>0</v>
      </c>
    </row>
    <row r="25" spans="1:3">
      <c r="A25" s="6">
        <v>300</v>
      </c>
      <c r="B25" s="7">
        <f>$B$11/($B$8*(A25/$B$7)*$B$13)</f>
        <v>0</v>
      </c>
      <c r="C25" s="8">
        <f>B25/24</f>
        <v>0</v>
      </c>
    </row>
    <row r="26" spans="1:3">
      <c r="A26" s="6">
        <v>400</v>
      </c>
      <c r="B26" s="7">
        <f>$B$11/($B$8*(A26/$B$7)*$B$13)</f>
        <v>0</v>
      </c>
      <c r="C26" s="8">
        <f>B26/24</f>
        <v>0</v>
      </c>
    </row>
    <row r="27" spans="1:3">
      <c r="A27" s="6">
        <v>500</v>
      </c>
      <c r="B27" s="7">
        <f>$B$11/($B$8*(A27/$B$7)*$B$13)</f>
        <v>0</v>
      </c>
      <c r="C27" s="8">
        <f>B27/24</f>
        <v>0</v>
      </c>
    </row>
    <row r="28" spans="1:3">
      <c r="A28" s="6">
        <v>650</v>
      </c>
      <c r="B28" s="7">
        <f>$B$11/($B$8*(A28/$B$7)*$B$13)</f>
        <v>0</v>
      </c>
      <c r="C28" s="8">
        <f>B28/24</f>
        <v>0</v>
      </c>
    </row>
    <row r="29" spans="1:3">
      <c r="A29" s="6">
        <v>800</v>
      </c>
      <c r="B29" s="7">
        <f>$B$11/($B$8*(A29/$B$7)*$B$13)</f>
        <v>0</v>
      </c>
      <c r="C29" s="8">
        <f>B29/24</f>
        <v>0</v>
      </c>
    </row>
    <row r="30" spans="1:3">
      <c r="A30" s="6">
        <v>1000</v>
      </c>
      <c r="B30" s="7">
        <f>$B$11/($B$8*(A30/$B$7)*$B$13)</f>
        <v>0</v>
      </c>
      <c r="C30" s="8">
        <f>B30/24</f>
        <v>0</v>
      </c>
    </row>
    <row r="31" spans="1:3">
      <c r="A31" s="6">
        <v>1250</v>
      </c>
      <c r="B31" s="7">
        <f>$B$11/($B$8*(A31/$B$7)*$B$13)</f>
        <v>0</v>
      </c>
      <c r="C31" s="8">
        <f>B31/24</f>
        <v>0</v>
      </c>
    </row>
    <row r="32" spans="1:3">
      <c r="A32" s="6">
        <v>1500</v>
      </c>
      <c r="B32" s="7">
        <f>$B$11/($B$8*(A32/$B$7)*$B$13)</f>
        <v>0</v>
      </c>
      <c r="C32" s="8">
        <f>B32/24</f>
        <v>0</v>
      </c>
    </row>
    <row r="33" spans="1:3">
      <c r="A33" s="6">
        <v>2000</v>
      </c>
      <c r="B33" s="7">
        <f>$B$11/($B$8*(A33/$B$7)*$B$13)</f>
        <v>0</v>
      </c>
      <c r="C33" s="8">
        <f>B33/24</f>
        <v>0</v>
      </c>
    </row>
    <row r="34" spans="1:3">
      <c r="A34" s="6">
        <v>3000</v>
      </c>
      <c r="B34" s="7">
        <f>$B$11/($B$8*(A34/$B$7)*$B$13)</f>
        <v>0</v>
      </c>
      <c r="C34" s="8">
        <f>B34/24</f>
        <v>0</v>
      </c>
    </row>
  </sheetData>
  <mergeCells count="6">
    <mergeCell ref="A1:C1"/>
    <mergeCell ref="A2:C2"/>
    <mergeCell ref="A4:C4"/>
    <mergeCell ref="A10:C10"/>
    <mergeCell ref="A15:C15"/>
    <mergeCell ref="A20:C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cols>
    <col min="1" max="1" width="115.7109375" customWidth="1"/>
  </cols>
  <sheetData>
    <row r="1" spans="1:1">
      <c r="A1" s="1" t="s">
        <v>19</v>
      </c>
    </row>
    <row r="3" spans="1:1">
      <c r="A3" s="3" t="s">
        <v>20</v>
      </c>
    </row>
    <row r="4" spans="1:1" ht="35" customHeight="1">
      <c r="A4" s="10" t="s">
        <v>21</v>
      </c>
    </row>
    <row r="6" spans="1:1">
      <c r="A6" s="3" t="s">
        <v>22</v>
      </c>
    </row>
    <row r="7" spans="1:1" ht="35" customHeight="1">
      <c r="A7" s="10" t="s">
        <v>23</v>
      </c>
    </row>
    <row r="9" spans="1:1">
      <c r="A9" s="3" t="s">
        <v>24</v>
      </c>
    </row>
    <row r="10" spans="1:1" ht="35" customHeight="1">
      <c r="A10" s="10" t="s">
        <v>25</v>
      </c>
    </row>
    <row r="12" spans="1:1">
      <c r="A12" s="3" t="s">
        <v>26</v>
      </c>
    </row>
    <row r="13" spans="1:1" ht="35" customHeight="1">
      <c r="A13" s="10" t="s">
        <v>27</v>
      </c>
    </row>
    <row r="15" spans="1:1">
      <c r="A15" s="3" t="s">
        <v>28</v>
      </c>
    </row>
    <row r="16" spans="1:1" ht="35" customHeight="1">
      <c r="A16" s="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Float Estimator</vt:lpstr>
      <vt:lpstr>Method &amp; 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Colorado River Float Time Estimator</dc:title>
  <dc:subject>Rough float-time estimate based on CFS</dc:subject>
  <dc:creator>OpenAI</dc:creator>
  <cp:lastModifiedBy>OpenAI</cp:lastModifiedBy>
  <dcterms:created xsi:type="dcterms:W3CDTF">2026-06-04T18:22:41Z</dcterms:created>
  <dcterms:modified xsi:type="dcterms:W3CDTF">2026-06-04T18:22:41Z</dcterms:modified>
</cp:coreProperties>
</file>